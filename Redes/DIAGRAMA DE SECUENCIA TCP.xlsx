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egarciap_unimagdalena_edu_co/Documents/"/>
    </mc:Choice>
  </mc:AlternateContent>
  <xr:revisionPtr revIDLastSave="39" documentId="8_{99609322-71F9-46D4-ABE9-60E44A2738D2}" xr6:coauthVersionLast="36" xr6:coauthVersionMax="36" xr10:uidLastSave="{BF3F23A4-4AF0-4D02-8919-CB727AE5AD0E}"/>
  <bookViews>
    <workbookView xWindow="0" yWindow="0" windowWidth="28800" windowHeight="12225" activeTab="1" xr2:uid="{00000000-000D-0000-FFFF-FFFF00000000}"/>
  </bookViews>
  <sheets>
    <sheet name="ListadoEstudiantes_2025I_04-02-" sheetId="1" r:id="rId1"/>
    <sheet name="Hoja2" sheetId="3" r:id="rId2"/>
    <sheet name="Hoja1" sheetId="2" r:id="rId3"/>
  </sheets>
  <calcPr calcId="191029"/>
</workbook>
</file>

<file path=xl/calcChain.xml><?xml version="1.0" encoding="utf-8"?>
<calcChain xmlns="http://schemas.openxmlformats.org/spreadsheetml/2006/main">
  <c r="Y10" i="1" l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9" i="1"/>
  <c r="Z9" i="1" s="1"/>
  <c r="X10" i="1"/>
  <c r="X11" i="1"/>
  <c r="X12" i="1"/>
  <c r="X13" i="1"/>
  <c r="X14" i="1"/>
  <c r="X15" i="1"/>
  <c r="X9" i="1"/>
</calcChain>
</file>

<file path=xl/sharedStrings.xml><?xml version="1.0" encoding="utf-8"?>
<sst xmlns="http://schemas.openxmlformats.org/spreadsheetml/2006/main" count="172" uniqueCount="80">
  <si>
    <t>Programa/Facultad: INGENIERÃA DE SISTEMAS</t>
  </si>
  <si>
    <t>Materia: REDES</t>
  </si>
  <si>
    <t>Grupo: 1 | Periodo: 2025I</t>
  </si>
  <si>
    <t>Docente: ERNESTO JOSE GARCIA PUCHE</t>
  </si>
  <si>
    <t>Fecha de descarga: martes 4 de febrero de 2025.</t>
  </si>
  <si>
    <t>Listado de estudiantes y correos electronicos</t>
  </si>
  <si>
    <t>No.</t>
  </si>
  <si>
    <t>Código</t>
  </si>
  <si>
    <t>Nombre</t>
  </si>
  <si>
    <t>Mail</t>
  </si>
  <si>
    <t>AMADOR MARTINEZ ISAAC JOSE</t>
  </si>
  <si>
    <t>isaacamadorjm@unimagdalena.edu.co</t>
  </si>
  <si>
    <t>JAIMES ROBLES VICTOR JOSE</t>
  </si>
  <si>
    <t>victorjaimesjr@unimagdalena.edu.co</t>
  </si>
  <si>
    <t>MELENDEZ VARGAS JORGE ELIECER</t>
  </si>
  <si>
    <t>jorgemelendezev@unimagdalena.edu.co</t>
  </si>
  <si>
    <t>MENDOZA MANJARRES KEINER DAVID</t>
  </si>
  <si>
    <t>kdmendoza@unimagdalena.edu.co</t>
  </si>
  <si>
    <t>arnaldomerinoac@unimagdalena.edu.co</t>
  </si>
  <si>
    <t>SERPA RAMIREZ CAMILO ANDRES</t>
  </si>
  <si>
    <t>cserpa@unimagdalena.edu.co</t>
  </si>
  <si>
    <t>FEBRERO</t>
  </si>
  <si>
    <t>X</t>
  </si>
  <si>
    <t>MERIÑO CAJAR ARNALDO ANDRES</t>
  </si>
  <si>
    <t>CURIEL GUERRA JULIO ALFONSO</t>
  </si>
  <si>
    <t>julioalfonsoc@unimagdalena.edu.co</t>
  </si>
  <si>
    <t>EXP OSI</t>
  </si>
  <si>
    <t>QUIZ 1</t>
  </si>
  <si>
    <t>T</t>
  </si>
  <si>
    <t>ACTIVIDAD OSI</t>
  </si>
  <si>
    <t>EXC</t>
  </si>
  <si>
    <t>ETHERNET</t>
  </si>
  <si>
    <t>ACT ETHER</t>
  </si>
  <si>
    <t>MARZO</t>
  </si>
  <si>
    <t>EMISOR</t>
  </si>
  <si>
    <t>APLICACIÓN</t>
  </si>
  <si>
    <t>PRESENTACIÓN</t>
  </si>
  <si>
    <t>SESIÓN</t>
  </si>
  <si>
    <t>TRANSPORTE</t>
  </si>
  <si>
    <t>RED</t>
  </si>
  <si>
    <t>ENLACE</t>
  </si>
  <si>
    <t>FÍSICA</t>
  </si>
  <si>
    <t>DATOS DE TRANSPORTE</t>
  </si>
  <si>
    <t>EXM 1ER. 
SEG</t>
  </si>
  <si>
    <t>P3
(30)</t>
  </si>
  <si>
    <t>DEF ACT (50)</t>
  </si>
  <si>
    <t>1ER- SEG</t>
  </si>
  <si>
    <t>CAPA 5/APLICACIÓN</t>
  </si>
  <si>
    <t>CAPA 4/PRESENTACION</t>
  </si>
  <si>
    <t>CAPA 3/SESIÓN</t>
  </si>
  <si>
    <t>CAPA 2/RED</t>
  </si>
  <si>
    <t>CAPA 1/FISICA</t>
  </si>
  <si>
    <t>RECEPTOR</t>
  </si>
  <si>
    <t>DATOS</t>
  </si>
  <si>
    <t>COD.</t>
  </si>
  <si>
    <t>COD. + DATOS</t>
  </si>
  <si>
    <t>ID SESION</t>
  </si>
  <si>
    <t>ID SESION+COD+DATOS</t>
  </si>
  <si>
    <t>DIR. LOGICA</t>
  </si>
  <si>
    <t>MEDIO O CANAL</t>
  </si>
  <si>
    <t>Protocolos capa 4</t>
  </si>
  <si>
    <t>Protocolos capa 3</t>
  </si>
  <si>
    <t>Protocolos capa 5</t>
  </si>
  <si>
    <t>Protocolos capa 2</t>
  </si>
  <si>
    <t>P1
(20)</t>
  </si>
  <si>
    <t>P2
(30)</t>
  </si>
  <si>
    <t>P4
(20)</t>
  </si>
  <si>
    <t xml:space="preserve">AVANCE: </t>
  </si>
  <si>
    <t xml:space="preserve"> </t>
  </si>
  <si>
    <t>VENTANA</t>
  </si>
  <si>
    <t>OPERACIÓN</t>
  </si>
  <si>
    <t>SE ENVIAN SEGMENTO 1 Y 2</t>
  </si>
  <si>
    <t>Se reciben segmentos 1 y 2 y se confirma ACK=3</t>
  </si>
  <si>
    <t>SE RECIBE CONFIRMACION Y SE CORRE LA VENTANA</t>
  </si>
  <si>
    <t>SE ENVÍAN 3 Y 4</t>
  </si>
  <si>
    <t>BUFFER RX</t>
  </si>
  <si>
    <t>BUFFER TX</t>
  </si>
  <si>
    <t>DATOS (Seq=1)</t>
  </si>
  <si>
    <t>DATOS (Seq=2)</t>
  </si>
  <si>
    <t>ACK(Seq=100; Ack=3)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</si>
</sst>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5" tint="-0.24994659260841701"/>
      </left>
      <right style="thin">
        <color indexed="64"/>
      </right>
      <top style="thick">
        <color theme="5" tint="-0.24994659260841701"/>
      </top>
      <bottom style="thick">
        <color theme="5" tint="-0.24994659260841701"/>
      </bottom>
      <diagonal/>
    </border>
    <border>
      <left style="thin">
        <color indexed="64"/>
      </left>
      <right style="thick">
        <color theme="5" tint="-0.24994659260841701"/>
      </right>
      <top style="thick">
        <color theme="5" tint="-0.24994659260841701"/>
      </top>
      <bottom style="thick">
        <color theme="5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ck">
        <color rgb="FFC00000"/>
      </right>
      <top style="thick">
        <color rgb="FFC00000"/>
      </top>
      <bottom style="thick">
        <color rgb="FFC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16" fillId="0" borderId="0" xfId="0" applyFont="1"/>
    <xf numFmtId="0" fontId="1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1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0" xfId="0" applyFill="1"/>
    <xf numFmtId="0" fontId="0" fillId="34" borderId="0" xfId="0" applyFill="1"/>
    <xf numFmtId="0" fontId="16" fillId="0" borderId="11" xfId="0" applyFont="1" applyBorder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1" fillId="0" borderId="0" xfId="0" applyFont="1"/>
    <xf numFmtId="0" fontId="18" fillId="0" borderId="14" xfId="0" applyFont="1" applyBorder="1"/>
    <xf numFmtId="0" fontId="18" fillId="0" borderId="15" xfId="0" applyFont="1" applyBorder="1"/>
    <xf numFmtId="0" fontId="0" fillId="0" borderId="13" xfId="0" applyBorder="1"/>
    <xf numFmtId="0" fontId="0" fillId="0" borderId="16" xfId="0" applyBorder="1"/>
    <xf numFmtId="0" fontId="18" fillId="0" borderId="0" xfId="0" applyFont="1" applyBorder="1"/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0" fillId="0" borderId="15" xfId="0" applyBorder="1"/>
    <xf numFmtId="0" fontId="22" fillId="0" borderId="16" xfId="0" applyFont="1" applyBorder="1"/>
    <xf numFmtId="0" fontId="23" fillId="0" borderId="0" xfId="0" applyFont="1" applyBorder="1"/>
    <xf numFmtId="0" fontId="16" fillId="0" borderId="11" xfId="0" applyFont="1" applyBorder="1" applyAlignment="1">
      <alignment horizont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3" xfId="0" applyFont="1" applyBorder="1"/>
    <xf numFmtId="0" fontId="24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wrapText="1"/>
    </xf>
    <xf numFmtId="0" fontId="25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16" fillId="0" borderId="11" xfId="0" applyFont="1" applyBorder="1" applyAlignment="1">
      <alignment horizontal="center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2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4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9</xdr:row>
      <xdr:rowOff>47625</xdr:rowOff>
    </xdr:from>
    <xdr:to>
      <xdr:col>12</xdr:col>
      <xdr:colOff>9525</xdr:colOff>
      <xdr:row>10</xdr:row>
      <xdr:rowOff>104775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2475B25-E92D-43C7-9D30-231DF119B7B9}"/>
            </a:ext>
          </a:extLst>
        </xdr:cNvPr>
        <xdr:cNvCxnSpPr/>
      </xdr:nvCxnSpPr>
      <xdr:spPr>
        <a:xfrm>
          <a:off x="5905500" y="1771650"/>
          <a:ext cx="21336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10</xdr:row>
      <xdr:rowOff>95250</xdr:rowOff>
    </xdr:from>
    <xdr:to>
      <xdr:col>12</xdr:col>
      <xdr:colOff>0</xdr:colOff>
      <xdr:row>11</xdr:row>
      <xdr:rowOff>161925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85394CE8-0E48-4652-9ED1-03A9AFC29CD2}"/>
            </a:ext>
          </a:extLst>
        </xdr:cNvPr>
        <xdr:cNvCxnSpPr/>
      </xdr:nvCxnSpPr>
      <xdr:spPr>
        <a:xfrm>
          <a:off x="5905500" y="2028825"/>
          <a:ext cx="2124075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12</xdr:row>
      <xdr:rowOff>114300</xdr:rowOff>
    </xdr:from>
    <xdr:to>
      <xdr:col>11</xdr:col>
      <xdr:colOff>1333500</xdr:colOff>
      <xdr:row>14</xdr:row>
      <xdr:rowOff>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13F4E70B-FC90-412F-B36E-E447C72B7EB2}"/>
            </a:ext>
          </a:extLst>
        </xdr:cNvPr>
        <xdr:cNvCxnSpPr/>
      </xdr:nvCxnSpPr>
      <xdr:spPr>
        <a:xfrm flipH="1">
          <a:off x="5915025" y="2438400"/>
          <a:ext cx="2105025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254635</xdr:colOff>
      <xdr:row>6</xdr:row>
      <xdr:rowOff>161925</xdr:rowOff>
    </xdr:from>
    <xdr:to>
      <xdr:col>7</xdr:col>
      <xdr:colOff>257175</xdr:colOff>
      <xdr:row>20</xdr:row>
      <xdr:rowOff>150495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6F3E8BE-F30D-E5D9-3782-E8240C7A1E3D}"/>
            </a:ext>
          </a:extLst>
        </xdr:cNvPr>
        <xdr:cNvCxnSpPr/>
      </xdr:nvCxnSpPr>
      <xdr:spPr>
        <a:xfrm flipH="1">
          <a:off x="5864860" y="1304925"/>
          <a:ext cx="2540" cy="2779395"/>
        </a:xfrm>
        <a:prstGeom prst="straightConnector1">
          <a:avLst/>
        </a:prstGeom>
        <a:ln w="3492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1451982</xdr:colOff>
      <xdr:row>9</xdr:row>
      <xdr:rowOff>174238</xdr:rowOff>
    </xdr:from>
    <xdr:to>
      <xdr:col>16</xdr:col>
      <xdr:colOff>1533293</xdr:colOff>
      <xdr:row>9</xdr:row>
      <xdr:rowOff>185853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4D42A70-1928-4C94-A78E-F22B9DF8B875}"/>
            </a:ext>
          </a:extLst>
        </xdr:cNvPr>
        <xdr:cNvCxnSpPr/>
      </xdr:nvCxnSpPr>
      <xdr:spPr>
        <a:xfrm>
          <a:off x="12777439" y="1870153"/>
          <a:ext cx="1544909" cy="11615"/>
        </a:xfrm>
        <a:prstGeom prst="straightConnector1">
          <a:avLst/>
        </a:prstGeom>
        <a:ln w="19050">
          <a:solidFill>
            <a:srgbClr val="FF0000"/>
          </a:solidFill>
          <a:prstDash val="dashDot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1430143</xdr:colOff>
      <xdr:row>11</xdr:row>
      <xdr:rowOff>71092</xdr:rowOff>
    </xdr:from>
    <xdr:to>
      <xdr:col>16</xdr:col>
      <xdr:colOff>1511454</xdr:colOff>
      <xdr:row>11</xdr:row>
      <xdr:rowOff>82707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E004BBBB-3886-4AD7-97E2-A9602A5F7858}"/>
            </a:ext>
          </a:extLst>
        </xdr:cNvPr>
        <xdr:cNvCxnSpPr/>
      </xdr:nvCxnSpPr>
      <xdr:spPr>
        <a:xfrm>
          <a:off x="13150539" y="2161946"/>
          <a:ext cx="1544909" cy="11615"/>
        </a:xfrm>
        <a:prstGeom prst="straightConnector1">
          <a:avLst/>
        </a:prstGeom>
        <a:ln w="19050">
          <a:solidFill>
            <a:srgbClr val="FF0000"/>
          </a:solidFill>
          <a:prstDash val="dashDot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</xdr:row>
      <xdr:rowOff>69696</xdr:rowOff>
    </xdr:from>
    <xdr:to>
      <xdr:col>17</xdr:col>
      <xdr:colOff>1</xdr:colOff>
      <xdr:row>15</xdr:row>
      <xdr:rowOff>81311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F53BE8E2-4402-48DF-A254-332F1F576024}"/>
            </a:ext>
          </a:extLst>
        </xdr:cNvPr>
        <xdr:cNvCxnSpPr/>
      </xdr:nvCxnSpPr>
      <xdr:spPr>
        <a:xfrm>
          <a:off x="13183994" y="2950428"/>
          <a:ext cx="1544909" cy="11615"/>
        </a:xfrm>
        <a:prstGeom prst="straightConnector1">
          <a:avLst/>
        </a:prstGeom>
        <a:ln w="19050">
          <a:solidFill>
            <a:srgbClr val="FF0000"/>
          </a:solidFill>
          <a:prstDash val="dashDot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1451982</xdr:colOff>
      <xdr:row>13</xdr:row>
      <xdr:rowOff>174238</xdr:rowOff>
    </xdr:from>
    <xdr:to>
      <xdr:col>16</xdr:col>
      <xdr:colOff>1533293</xdr:colOff>
      <xdr:row>13</xdr:row>
      <xdr:rowOff>185853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25005909-348E-4761-92DD-7DB8D0C02A47}"/>
            </a:ext>
          </a:extLst>
        </xdr:cNvPr>
        <xdr:cNvCxnSpPr/>
      </xdr:nvCxnSpPr>
      <xdr:spPr>
        <a:xfrm>
          <a:off x="12777439" y="1870153"/>
          <a:ext cx="1544909" cy="11615"/>
        </a:xfrm>
        <a:prstGeom prst="straightConnector1">
          <a:avLst/>
        </a:prstGeom>
        <a:ln w="19050">
          <a:solidFill>
            <a:srgbClr val="FF0000"/>
          </a:solidFill>
          <a:prstDash val="dashDot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"/>
  <sheetViews>
    <sheetView showGridLines="0" workbookViewId="0">
      <selection activeCell="G23" sqref="G23"/>
    </sheetView>
  </sheetViews>
  <sheetFormatPr baseColWidth="10" defaultRowHeight="15" x14ac:dyDescent="0.25"/>
  <cols>
    <col min="1" max="1" width="4.140625" bestFit="1" customWidth="1"/>
    <col min="2" max="2" width="11" bestFit="1" customWidth="1"/>
    <col min="3" max="3" width="34.7109375" bestFit="1" customWidth="1"/>
    <col min="4" max="4" width="38.28515625" customWidth="1"/>
    <col min="5" max="5" width="6.42578125" customWidth="1"/>
    <col min="6" max="6" width="6.28515625" customWidth="1"/>
    <col min="7" max="9" width="6.5703125" customWidth="1"/>
    <col min="10" max="10" width="9.140625" customWidth="1"/>
    <col min="11" max="11" width="14.7109375" customWidth="1"/>
    <col min="12" max="13" width="5.42578125" customWidth="1"/>
    <col min="15" max="15" width="6.42578125" customWidth="1"/>
    <col min="17" max="17" width="5.42578125" customWidth="1"/>
    <col min="18" max="18" width="5.140625" customWidth="1"/>
    <col min="19" max="19" width="4.5703125" customWidth="1"/>
    <col min="20" max="20" width="4.7109375" customWidth="1"/>
    <col min="21" max="21" width="5.42578125" customWidth="1"/>
    <col min="22" max="22" width="6.42578125" customWidth="1"/>
    <col min="23" max="23" width="5.140625" customWidth="1"/>
    <col min="24" max="24" width="9.7109375" customWidth="1"/>
    <col min="25" max="25" width="10" customWidth="1"/>
    <col min="26" max="26" width="6.42578125" customWidth="1"/>
    <col min="27" max="27" width="5.28515625" customWidth="1"/>
  </cols>
  <sheetData>
    <row r="1" spans="1:27" ht="15" customHeight="1" x14ac:dyDescent="0.25">
      <c r="A1" s="50" t="s">
        <v>0</v>
      </c>
      <c r="B1" s="50"/>
      <c r="C1" s="50"/>
      <c r="D1" s="50"/>
    </row>
    <row r="2" spans="1:27" ht="15" customHeight="1" x14ac:dyDescent="0.25">
      <c r="A2" s="50" t="s">
        <v>1</v>
      </c>
      <c r="B2" s="50"/>
      <c r="C2" s="50"/>
      <c r="D2" s="50"/>
    </row>
    <row r="3" spans="1:27" ht="15" customHeight="1" x14ac:dyDescent="0.25">
      <c r="A3" s="50" t="s">
        <v>2</v>
      </c>
      <c r="B3" s="50"/>
      <c r="C3" s="50"/>
      <c r="D3" s="50"/>
    </row>
    <row r="4" spans="1:27" ht="15" customHeight="1" x14ac:dyDescent="0.25">
      <c r="A4" s="50" t="s">
        <v>3</v>
      </c>
      <c r="B4" s="50"/>
      <c r="C4" s="50"/>
      <c r="D4" s="50"/>
    </row>
    <row r="5" spans="1:27" ht="15" customHeight="1" x14ac:dyDescent="0.25">
      <c r="A5" s="50" t="s">
        <v>4</v>
      </c>
      <c r="B5" s="50"/>
      <c r="C5" s="50"/>
      <c r="D5" s="50"/>
    </row>
    <row r="6" spans="1:27" x14ac:dyDescent="0.25">
      <c r="A6" s="49"/>
      <c r="B6" s="49"/>
      <c r="C6" s="49"/>
      <c r="D6" s="49"/>
    </row>
    <row r="7" spans="1:27" ht="15" customHeight="1" x14ac:dyDescent="0.25">
      <c r="A7" s="49" t="s">
        <v>5</v>
      </c>
      <c r="B7" s="49"/>
      <c r="C7" s="49"/>
      <c r="D7" s="49"/>
      <c r="E7" s="48" t="s">
        <v>21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" t="s">
        <v>33</v>
      </c>
    </row>
    <row r="8" spans="1:27" ht="27" customHeight="1" x14ac:dyDescent="0.25">
      <c r="A8" s="1" t="s">
        <v>6</v>
      </c>
      <c r="B8" s="1" t="s">
        <v>7</v>
      </c>
      <c r="C8" s="1" t="s">
        <v>8</v>
      </c>
      <c r="D8" s="5" t="s">
        <v>9</v>
      </c>
      <c r="E8" s="8">
        <v>4</v>
      </c>
      <c r="F8" s="8">
        <v>5</v>
      </c>
      <c r="G8" s="8">
        <v>11</v>
      </c>
      <c r="H8" s="8">
        <v>12</v>
      </c>
      <c r="I8" s="8" t="s">
        <v>27</v>
      </c>
      <c r="J8" s="8" t="s">
        <v>26</v>
      </c>
      <c r="K8" s="8" t="s">
        <v>29</v>
      </c>
      <c r="L8" s="8">
        <v>18</v>
      </c>
      <c r="M8" s="8">
        <v>19</v>
      </c>
      <c r="N8" s="8" t="s">
        <v>31</v>
      </c>
      <c r="O8" s="8">
        <v>25</v>
      </c>
      <c r="P8" s="8" t="s">
        <v>32</v>
      </c>
      <c r="Q8" s="8">
        <v>26</v>
      </c>
      <c r="R8" s="8">
        <v>4</v>
      </c>
      <c r="S8" s="11">
        <v>5</v>
      </c>
      <c r="T8" s="26" t="s">
        <v>64</v>
      </c>
      <c r="U8" s="26" t="s">
        <v>65</v>
      </c>
      <c r="V8" s="26" t="s">
        <v>44</v>
      </c>
      <c r="W8" s="26" t="s">
        <v>66</v>
      </c>
      <c r="X8" s="26" t="s">
        <v>43</v>
      </c>
      <c r="Y8" s="26" t="s">
        <v>45</v>
      </c>
      <c r="Z8" s="27" t="s">
        <v>46</v>
      </c>
      <c r="AA8" s="27">
        <v>11</v>
      </c>
    </row>
    <row r="9" spans="1:27" x14ac:dyDescent="0.25">
      <c r="A9" s="2">
        <v>1</v>
      </c>
      <c r="B9" s="2">
        <v>2017114007</v>
      </c>
      <c r="C9" s="3" t="s">
        <v>10</v>
      </c>
      <c r="D9" s="6" t="s">
        <v>11</v>
      </c>
      <c r="E9" s="7" t="s">
        <v>22</v>
      </c>
      <c r="F9" s="7" t="s">
        <v>22</v>
      </c>
      <c r="G9" s="7" t="s">
        <v>22</v>
      </c>
      <c r="H9" s="7" t="s">
        <v>22</v>
      </c>
      <c r="I9" s="7">
        <v>5</v>
      </c>
      <c r="J9" s="7">
        <v>5</v>
      </c>
      <c r="K9" s="7">
        <v>5</v>
      </c>
      <c r="L9" s="7" t="s">
        <v>22</v>
      </c>
      <c r="M9" s="7" t="s">
        <v>22</v>
      </c>
      <c r="N9" s="7">
        <v>3</v>
      </c>
      <c r="O9" s="7" t="s">
        <v>22</v>
      </c>
      <c r="P9" s="7">
        <v>1</v>
      </c>
      <c r="Q9" s="7" t="s">
        <v>22</v>
      </c>
      <c r="R9" s="7" t="s">
        <v>22</v>
      </c>
      <c r="S9" s="7" t="s">
        <v>22</v>
      </c>
      <c r="T9" s="7">
        <v>18</v>
      </c>
      <c r="U9" s="7">
        <v>15</v>
      </c>
      <c r="V9" s="7">
        <v>23</v>
      </c>
      <c r="W9" s="7">
        <v>20</v>
      </c>
      <c r="X9" s="7">
        <f>T9+U9+V9+W9</f>
        <v>76</v>
      </c>
      <c r="Y9" s="7">
        <f>(I9+J9+K9+N9+P9)/5/5*50</f>
        <v>38</v>
      </c>
      <c r="Z9" s="7">
        <f>X9+Y9</f>
        <v>114</v>
      </c>
      <c r="AA9" s="7" t="s">
        <v>22</v>
      </c>
    </row>
    <row r="10" spans="1:27" x14ac:dyDescent="0.25">
      <c r="A10" s="2">
        <v>2</v>
      </c>
      <c r="B10" s="2">
        <v>2020114050</v>
      </c>
      <c r="C10" s="3" t="s">
        <v>24</v>
      </c>
      <c r="D10" s="9" t="s">
        <v>25</v>
      </c>
      <c r="E10" s="7"/>
      <c r="F10" s="7"/>
      <c r="G10" s="7" t="s">
        <v>22</v>
      </c>
      <c r="H10" s="7" t="s">
        <v>22</v>
      </c>
      <c r="I10" s="7"/>
      <c r="J10" s="7">
        <v>5</v>
      </c>
      <c r="K10" s="7">
        <v>5</v>
      </c>
      <c r="L10" s="7" t="s">
        <v>22</v>
      </c>
      <c r="M10" s="7" t="s">
        <v>22</v>
      </c>
      <c r="N10" s="7">
        <v>4</v>
      </c>
      <c r="O10" s="7" t="s">
        <v>22</v>
      </c>
      <c r="P10" s="7">
        <v>4</v>
      </c>
      <c r="Q10" s="7" t="s">
        <v>28</v>
      </c>
      <c r="R10" s="7" t="s">
        <v>22</v>
      </c>
      <c r="S10" s="7" t="s">
        <v>22</v>
      </c>
      <c r="T10" s="7">
        <v>0</v>
      </c>
      <c r="U10" s="7">
        <v>15</v>
      </c>
      <c r="V10" s="7">
        <v>5</v>
      </c>
      <c r="W10" s="7">
        <v>20</v>
      </c>
      <c r="X10" s="7">
        <f t="shared" ref="X10:X15" si="0">T10+U10+V10+W10</f>
        <v>40</v>
      </c>
      <c r="Y10" s="7">
        <f>(I10+J10+K10+N10+P10)/4/5*50</f>
        <v>45</v>
      </c>
      <c r="Z10" s="7">
        <f t="shared" ref="Z10:Z15" si="1">X10+Y10</f>
        <v>85</v>
      </c>
      <c r="AA10" s="7" t="s">
        <v>22</v>
      </c>
    </row>
    <row r="11" spans="1:27" x14ac:dyDescent="0.25">
      <c r="A11" s="2">
        <v>3</v>
      </c>
      <c r="B11" s="2">
        <v>2022114106</v>
      </c>
      <c r="C11" s="3" t="s">
        <v>12</v>
      </c>
      <c r="D11" s="6" t="s">
        <v>13</v>
      </c>
      <c r="E11" s="7" t="s">
        <v>22</v>
      </c>
      <c r="F11" s="7" t="s">
        <v>22</v>
      </c>
      <c r="G11" s="7" t="s">
        <v>22</v>
      </c>
      <c r="H11" s="7" t="s">
        <v>30</v>
      </c>
      <c r="I11" s="7">
        <v>5</v>
      </c>
      <c r="J11" s="7">
        <v>3</v>
      </c>
      <c r="K11" s="7">
        <v>0</v>
      </c>
      <c r="L11" s="7" t="s">
        <v>22</v>
      </c>
      <c r="M11" s="7" t="s">
        <v>22</v>
      </c>
      <c r="N11" s="7">
        <v>4</v>
      </c>
      <c r="O11" s="7" t="s">
        <v>22</v>
      </c>
      <c r="P11" s="7">
        <v>2.5</v>
      </c>
      <c r="Q11" s="7" t="s">
        <v>22</v>
      </c>
      <c r="R11" s="7" t="s">
        <v>22</v>
      </c>
      <c r="S11" s="7" t="s">
        <v>22</v>
      </c>
      <c r="T11" s="7">
        <v>12</v>
      </c>
      <c r="U11" s="7">
        <v>7</v>
      </c>
      <c r="V11" s="7">
        <v>18</v>
      </c>
      <c r="W11" s="7">
        <v>13</v>
      </c>
      <c r="X11" s="7">
        <f t="shared" si="0"/>
        <v>50</v>
      </c>
      <c r="Y11" s="7">
        <f t="shared" ref="Y11:Y15" si="2">(I11+J11+K11+N11+P11)/5/5*50</f>
        <v>28.999999999999996</v>
      </c>
      <c r="Z11" s="7">
        <f t="shared" si="1"/>
        <v>79</v>
      </c>
      <c r="AA11" s="7" t="s">
        <v>28</v>
      </c>
    </row>
    <row r="12" spans="1:27" x14ac:dyDescent="0.25">
      <c r="A12" s="2">
        <v>4</v>
      </c>
      <c r="B12" s="2">
        <v>2017114060</v>
      </c>
      <c r="C12" s="3" t="s">
        <v>14</v>
      </c>
      <c r="D12" s="6" t="s">
        <v>15</v>
      </c>
      <c r="E12" s="7" t="s">
        <v>22</v>
      </c>
      <c r="F12" s="7" t="s">
        <v>22</v>
      </c>
      <c r="G12" s="7" t="s">
        <v>22</v>
      </c>
      <c r="H12" s="7" t="s">
        <v>22</v>
      </c>
      <c r="I12" s="7">
        <v>5</v>
      </c>
      <c r="J12" s="7">
        <v>5</v>
      </c>
      <c r="K12" s="7">
        <v>5</v>
      </c>
      <c r="L12" s="7" t="s">
        <v>22</v>
      </c>
      <c r="M12" s="7" t="s">
        <v>22</v>
      </c>
      <c r="N12" s="7">
        <v>4</v>
      </c>
      <c r="O12" s="7" t="s">
        <v>22</v>
      </c>
      <c r="P12" s="7">
        <v>1</v>
      </c>
      <c r="Q12" s="7" t="s">
        <v>22</v>
      </c>
      <c r="R12" s="7" t="s">
        <v>22</v>
      </c>
      <c r="S12" s="7" t="s">
        <v>22</v>
      </c>
      <c r="T12" s="7">
        <v>0</v>
      </c>
      <c r="U12" s="7">
        <v>15</v>
      </c>
      <c r="V12" s="7">
        <v>10</v>
      </c>
      <c r="W12" s="7">
        <v>22</v>
      </c>
      <c r="X12" s="7">
        <f t="shared" si="0"/>
        <v>47</v>
      </c>
      <c r="Y12" s="7">
        <f t="shared" si="2"/>
        <v>40</v>
      </c>
      <c r="Z12" s="7">
        <f t="shared" si="1"/>
        <v>87</v>
      </c>
      <c r="AA12" s="7" t="s">
        <v>22</v>
      </c>
    </row>
    <row r="13" spans="1:27" x14ac:dyDescent="0.25">
      <c r="A13" s="2">
        <v>5</v>
      </c>
      <c r="B13" s="2">
        <v>2021214050</v>
      </c>
      <c r="C13" s="3" t="s">
        <v>16</v>
      </c>
      <c r="D13" s="6" t="s">
        <v>17</v>
      </c>
      <c r="E13" s="7" t="s">
        <v>22</v>
      </c>
      <c r="F13" s="7" t="s">
        <v>22</v>
      </c>
      <c r="G13" s="7" t="s">
        <v>22</v>
      </c>
      <c r="H13" s="7" t="s">
        <v>22</v>
      </c>
      <c r="I13" s="7">
        <v>4</v>
      </c>
      <c r="J13" s="7">
        <v>5</v>
      </c>
      <c r="K13" s="7">
        <v>4</v>
      </c>
      <c r="L13" s="7" t="s">
        <v>22</v>
      </c>
      <c r="M13" s="7" t="s">
        <v>22</v>
      </c>
      <c r="N13" s="7">
        <v>4</v>
      </c>
      <c r="O13" s="7" t="s">
        <v>22</v>
      </c>
      <c r="P13" s="7">
        <v>1</v>
      </c>
      <c r="Q13" s="7" t="s">
        <v>22</v>
      </c>
      <c r="R13" s="7" t="s">
        <v>22</v>
      </c>
      <c r="S13" s="7" t="s">
        <v>22</v>
      </c>
      <c r="T13" s="7">
        <v>17</v>
      </c>
      <c r="U13" s="7">
        <v>15</v>
      </c>
      <c r="V13" s="7">
        <v>18</v>
      </c>
      <c r="W13" s="7">
        <v>20</v>
      </c>
      <c r="X13" s="7">
        <f t="shared" si="0"/>
        <v>70</v>
      </c>
      <c r="Y13" s="7">
        <f t="shared" si="2"/>
        <v>36</v>
      </c>
      <c r="Z13" s="7">
        <f t="shared" si="1"/>
        <v>106</v>
      </c>
      <c r="AA13" s="7" t="s">
        <v>22</v>
      </c>
    </row>
    <row r="14" spans="1:27" x14ac:dyDescent="0.25">
      <c r="A14" s="2">
        <v>6</v>
      </c>
      <c r="B14" s="2">
        <v>2009114059</v>
      </c>
      <c r="C14" s="3" t="s">
        <v>23</v>
      </c>
      <c r="D14" s="6" t="s">
        <v>18</v>
      </c>
      <c r="E14" s="7" t="s">
        <v>22</v>
      </c>
      <c r="F14" s="7" t="s">
        <v>22</v>
      </c>
      <c r="G14" s="7" t="s">
        <v>22</v>
      </c>
      <c r="H14" s="7" t="s">
        <v>22</v>
      </c>
      <c r="I14" s="7">
        <v>5</v>
      </c>
      <c r="J14" s="7">
        <v>5</v>
      </c>
      <c r="K14" s="7">
        <v>5</v>
      </c>
      <c r="L14" s="7" t="s">
        <v>22</v>
      </c>
      <c r="M14" s="7" t="s">
        <v>22</v>
      </c>
      <c r="N14" s="7">
        <v>4</v>
      </c>
      <c r="O14" s="7" t="s">
        <v>22</v>
      </c>
      <c r="P14" s="7">
        <v>1</v>
      </c>
      <c r="Q14" s="7" t="s">
        <v>22</v>
      </c>
      <c r="R14" s="7" t="s">
        <v>22</v>
      </c>
      <c r="S14" s="7" t="s">
        <v>22</v>
      </c>
      <c r="T14" s="7">
        <v>0</v>
      </c>
      <c r="U14" s="7">
        <v>15</v>
      </c>
      <c r="V14" s="7">
        <v>15</v>
      </c>
      <c r="W14" s="7">
        <v>12</v>
      </c>
      <c r="X14" s="7">
        <f t="shared" si="0"/>
        <v>42</v>
      </c>
      <c r="Y14" s="7">
        <f t="shared" si="2"/>
        <v>40</v>
      </c>
      <c r="Z14" s="7">
        <f t="shared" si="1"/>
        <v>82</v>
      </c>
      <c r="AA14" s="7"/>
    </row>
    <row r="15" spans="1:27" x14ac:dyDescent="0.25">
      <c r="A15" s="2">
        <v>7</v>
      </c>
      <c r="B15" s="2">
        <v>2021114041</v>
      </c>
      <c r="C15" s="3" t="s">
        <v>19</v>
      </c>
      <c r="D15" s="6" t="s">
        <v>20</v>
      </c>
      <c r="E15" s="7" t="s">
        <v>22</v>
      </c>
      <c r="F15" s="7"/>
      <c r="G15" s="7" t="s">
        <v>22</v>
      </c>
      <c r="H15" s="7" t="s">
        <v>28</v>
      </c>
      <c r="I15" s="7">
        <v>5</v>
      </c>
      <c r="J15" s="7">
        <v>5</v>
      </c>
      <c r="K15" s="7">
        <v>5</v>
      </c>
      <c r="L15" s="7" t="s">
        <v>30</v>
      </c>
      <c r="M15" s="7" t="s">
        <v>22</v>
      </c>
      <c r="N15" s="7">
        <v>4</v>
      </c>
      <c r="O15" s="7" t="s">
        <v>28</v>
      </c>
      <c r="P15" s="7">
        <v>1</v>
      </c>
      <c r="Q15" s="7" t="s">
        <v>22</v>
      </c>
      <c r="R15" s="7" t="s">
        <v>22</v>
      </c>
      <c r="S15" s="7" t="s">
        <v>22</v>
      </c>
      <c r="T15" s="7">
        <v>5</v>
      </c>
      <c r="U15" s="7">
        <v>15</v>
      </c>
      <c r="V15" s="7">
        <v>8</v>
      </c>
      <c r="W15" s="7">
        <v>20</v>
      </c>
      <c r="X15" s="7">
        <f t="shared" si="0"/>
        <v>48</v>
      </c>
      <c r="Y15" s="7">
        <f t="shared" si="2"/>
        <v>40</v>
      </c>
      <c r="Z15" s="7">
        <f t="shared" si="1"/>
        <v>88</v>
      </c>
      <c r="AA15" s="7" t="s">
        <v>22</v>
      </c>
    </row>
    <row r="17" spans="2:3" x14ac:dyDescent="0.25">
      <c r="B17" s="10" t="s">
        <v>67</v>
      </c>
      <c r="C17" s="10"/>
    </row>
    <row r="18" spans="2:3" x14ac:dyDescent="0.25">
      <c r="B18" t="s">
        <v>68</v>
      </c>
    </row>
  </sheetData>
  <mergeCells count="8">
    <mergeCell ref="E7:Q7"/>
    <mergeCell ref="A7:D7"/>
    <mergeCell ref="A1:D1"/>
    <mergeCell ref="A2:D2"/>
    <mergeCell ref="A3:D3"/>
    <mergeCell ref="A4:D4"/>
    <mergeCell ref="A5:D5"/>
    <mergeCell ref="A6:D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AA99-F9D7-4771-BA4C-17ED08C13C33}">
  <dimension ref="B8:P27"/>
  <sheetViews>
    <sheetView tabSelected="1" workbookViewId="0">
      <selection activeCell="N19" sqref="N19"/>
    </sheetView>
  </sheetViews>
  <sheetFormatPr baseColWidth="10" defaultRowHeight="15" x14ac:dyDescent="0.25"/>
  <cols>
    <col min="2" max="2" width="7.28515625" customWidth="1"/>
    <col min="3" max="3" width="7" customWidth="1"/>
    <col min="4" max="4" width="7.28515625" customWidth="1"/>
    <col min="5" max="5" width="6.7109375" customWidth="1"/>
    <col min="6" max="7" width="7.42578125" customWidth="1"/>
    <col min="8" max="8" width="4" customWidth="1"/>
    <col min="9" max="9" width="25.5703125" customWidth="1"/>
    <col min="10" max="10" width="4.7109375" customWidth="1"/>
    <col min="12" max="12" width="20.140625" customWidth="1"/>
    <col min="13" max="13" width="4.28515625" customWidth="1"/>
    <col min="14" max="14" width="43" customWidth="1"/>
  </cols>
  <sheetData>
    <row r="8" spans="2:16" x14ac:dyDescent="0.25">
      <c r="C8" s="4" t="s">
        <v>76</v>
      </c>
      <c r="H8" s="35"/>
      <c r="I8" s="35" t="s">
        <v>70</v>
      </c>
      <c r="J8" s="52" t="s">
        <v>34</v>
      </c>
      <c r="K8" s="52"/>
      <c r="L8" s="52" t="s">
        <v>52</v>
      </c>
      <c r="M8" s="52"/>
      <c r="N8" s="35" t="s">
        <v>70</v>
      </c>
    </row>
    <row r="9" spans="2:16" ht="15.75" thickBot="1" x14ac:dyDescent="0.3">
      <c r="K9" s="37"/>
      <c r="L9" s="38"/>
    </row>
    <row r="10" spans="2:16" ht="16.5" thickTop="1" thickBot="1" x14ac:dyDescent="0.3">
      <c r="B10" s="40">
        <v>1</v>
      </c>
      <c r="C10" s="41">
        <v>2</v>
      </c>
      <c r="D10" s="39">
        <v>3</v>
      </c>
      <c r="E10" s="7">
        <v>4</v>
      </c>
      <c r="F10" s="7">
        <v>5</v>
      </c>
      <c r="G10" s="7">
        <v>6</v>
      </c>
      <c r="H10" s="36"/>
      <c r="I10" t="s">
        <v>71</v>
      </c>
      <c r="K10" s="37" t="s">
        <v>77</v>
      </c>
      <c r="L10" s="47"/>
      <c r="O10" s="51" t="s">
        <v>75</v>
      </c>
      <c r="P10" s="51"/>
    </row>
    <row r="11" spans="2:16" ht="15.75" thickTop="1" x14ac:dyDescent="0.25">
      <c r="B11" s="51" t="s">
        <v>69</v>
      </c>
      <c r="C11" s="51"/>
      <c r="K11" s="37" t="s">
        <v>78</v>
      </c>
      <c r="L11" s="38"/>
    </row>
    <row r="12" spans="2:16" x14ac:dyDescent="0.25">
      <c r="K12" s="37"/>
      <c r="M12" s="37"/>
    </row>
    <row r="13" spans="2:16" ht="15.75" thickBot="1" x14ac:dyDescent="0.3">
      <c r="K13" s="37"/>
      <c r="L13" s="38" t="s">
        <v>79</v>
      </c>
      <c r="N13" t="s">
        <v>72</v>
      </c>
      <c r="O13" s="7">
        <v>1</v>
      </c>
      <c r="P13" s="7">
        <v>2</v>
      </c>
    </row>
    <row r="14" spans="2:16" ht="31.5" thickTop="1" thickBot="1" x14ac:dyDescent="0.3">
      <c r="B14" s="42">
        <v>1</v>
      </c>
      <c r="C14" s="43">
        <v>2</v>
      </c>
      <c r="D14" s="44">
        <v>3</v>
      </c>
      <c r="E14" s="45">
        <v>4</v>
      </c>
      <c r="F14" s="46">
        <v>5</v>
      </c>
      <c r="G14" s="42">
        <v>6</v>
      </c>
      <c r="I14" s="34" t="s">
        <v>73</v>
      </c>
      <c r="K14" s="37"/>
      <c r="L14" s="38"/>
    </row>
    <row r="15" spans="2:16" ht="15.75" thickTop="1" x14ac:dyDescent="0.25">
      <c r="D15" s="4" t="s">
        <v>69</v>
      </c>
      <c r="I15" t="s">
        <v>74</v>
      </c>
      <c r="K15" s="37"/>
      <c r="L15" s="38"/>
    </row>
    <row r="16" spans="2:16" x14ac:dyDescent="0.25">
      <c r="K16" s="37"/>
      <c r="L16" s="38"/>
    </row>
    <row r="17" spans="11:12" x14ac:dyDescent="0.25">
      <c r="K17" s="37"/>
      <c r="L17" s="38"/>
    </row>
    <row r="18" spans="11:12" x14ac:dyDescent="0.25">
      <c r="K18" s="37"/>
      <c r="L18" s="38"/>
    </row>
    <row r="19" spans="11:12" x14ac:dyDescent="0.25">
      <c r="K19" s="37"/>
      <c r="L19" s="38"/>
    </row>
    <row r="20" spans="11:12" x14ac:dyDescent="0.25">
      <c r="K20" s="37"/>
      <c r="L20" s="38"/>
    </row>
    <row r="21" spans="11:12" x14ac:dyDescent="0.25">
      <c r="K21" s="37"/>
      <c r="L21" s="38"/>
    </row>
    <row r="22" spans="11:12" x14ac:dyDescent="0.25">
      <c r="K22" s="37"/>
      <c r="L22" s="38"/>
    </row>
    <row r="23" spans="11:12" x14ac:dyDescent="0.25">
      <c r="K23" s="37"/>
      <c r="L23" s="38"/>
    </row>
    <row r="24" spans="11:12" x14ac:dyDescent="0.25">
      <c r="K24" s="37"/>
      <c r="L24" s="38"/>
    </row>
    <row r="25" spans="11:12" x14ac:dyDescent="0.25">
      <c r="K25" s="37"/>
      <c r="L25" s="38"/>
    </row>
    <row r="26" spans="11:12" x14ac:dyDescent="0.25">
      <c r="K26" s="37"/>
      <c r="L26" s="38"/>
    </row>
    <row r="27" spans="11:12" x14ac:dyDescent="0.25">
      <c r="K27" s="37"/>
      <c r="L27" s="38"/>
    </row>
  </sheetData>
  <mergeCells count="4">
    <mergeCell ref="B11:C11"/>
    <mergeCell ref="J8:K8"/>
    <mergeCell ref="L8:M8"/>
    <mergeCell ref="O10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DE3F-0C18-4C50-A4DE-956AFB6CF4C6}">
  <dimension ref="D7:W22"/>
  <sheetViews>
    <sheetView zoomScale="82" zoomScaleNormal="82" workbookViewId="0">
      <selection activeCell="Q28" sqref="Q28"/>
    </sheetView>
  </sheetViews>
  <sheetFormatPr baseColWidth="10" defaultRowHeight="15" x14ac:dyDescent="0.25"/>
  <cols>
    <col min="5" max="5" width="12.85546875" customWidth="1"/>
    <col min="7" max="7" width="14.140625" customWidth="1"/>
    <col min="8" max="8" width="5.28515625" customWidth="1"/>
    <col min="9" max="9" width="17" customWidth="1"/>
    <col min="15" max="15" width="5.5703125" customWidth="1"/>
    <col min="16" max="16" width="22" customWidth="1"/>
    <col min="17" max="17" width="23.140625" style="28" customWidth="1"/>
    <col min="18" max="18" width="22" bestFit="1" customWidth="1"/>
    <col min="19" max="19" width="4.85546875" customWidth="1"/>
  </cols>
  <sheetData>
    <row r="7" spans="6:23" x14ac:dyDescent="0.25">
      <c r="F7" s="12"/>
      <c r="G7" s="12"/>
      <c r="H7" s="12"/>
      <c r="I7" s="13" t="s">
        <v>34</v>
      </c>
      <c r="J7" s="12"/>
    </row>
    <row r="8" spans="6:23" ht="15.75" thickBot="1" x14ac:dyDescent="0.3">
      <c r="F8" s="12"/>
      <c r="G8" s="12"/>
      <c r="H8" s="12"/>
      <c r="I8" s="12"/>
      <c r="J8" s="12"/>
      <c r="P8" t="s">
        <v>34</v>
      </c>
      <c r="R8" t="s">
        <v>52</v>
      </c>
    </row>
    <row r="9" spans="6:23" ht="15.75" thickBot="1" x14ac:dyDescent="0.3">
      <c r="F9" s="20"/>
      <c r="G9" s="21"/>
      <c r="H9" s="12"/>
      <c r="I9" s="14" t="s">
        <v>35</v>
      </c>
      <c r="J9" s="12"/>
    </row>
    <row r="10" spans="6:23" ht="15.75" thickBot="1" x14ac:dyDescent="0.3">
      <c r="F10" s="20"/>
      <c r="G10" s="20"/>
      <c r="H10" s="15"/>
      <c r="I10" s="12"/>
      <c r="J10" s="12"/>
      <c r="N10" s="30" t="s">
        <v>53</v>
      </c>
      <c r="P10" s="30" t="s">
        <v>47</v>
      </c>
      <c r="Q10" s="28" t="s">
        <v>62</v>
      </c>
      <c r="R10" s="30" t="s">
        <v>47</v>
      </c>
      <c r="W10" s="30" t="s">
        <v>53</v>
      </c>
    </row>
    <row r="11" spans="6:23" ht="15.75" thickBot="1" x14ac:dyDescent="0.3">
      <c r="F11" s="20"/>
      <c r="G11" s="22"/>
      <c r="H11" s="12"/>
      <c r="I11" s="14" t="s">
        <v>36</v>
      </c>
      <c r="J11" s="12"/>
      <c r="N11" s="28"/>
      <c r="P11" s="29"/>
      <c r="R11" s="29"/>
      <c r="W11" s="28"/>
    </row>
    <row r="12" spans="6:23" ht="15.75" thickBot="1" x14ac:dyDescent="0.3">
      <c r="F12" s="20"/>
      <c r="G12" s="20"/>
      <c r="H12" s="12"/>
      <c r="I12" s="12"/>
      <c r="J12" s="12"/>
      <c r="M12" s="30" t="s">
        <v>54</v>
      </c>
      <c r="N12" s="30" t="s">
        <v>53</v>
      </c>
      <c r="P12" s="30" t="s">
        <v>48</v>
      </c>
      <c r="Q12" s="28" t="s">
        <v>60</v>
      </c>
      <c r="R12" s="30" t="s">
        <v>48</v>
      </c>
      <c r="V12" s="30" t="s">
        <v>54</v>
      </c>
      <c r="W12" s="30" t="s">
        <v>53</v>
      </c>
    </row>
    <row r="13" spans="6:23" ht="15.75" thickBot="1" x14ac:dyDescent="0.3">
      <c r="F13" s="22"/>
      <c r="G13" s="22"/>
      <c r="H13" s="12"/>
      <c r="I13" s="14" t="s">
        <v>37</v>
      </c>
      <c r="J13" s="12"/>
      <c r="N13" s="28"/>
      <c r="P13" s="29"/>
      <c r="R13" s="29"/>
      <c r="W13" s="28"/>
    </row>
    <row r="14" spans="6:23" ht="15.75" thickBot="1" x14ac:dyDescent="0.3">
      <c r="F14" s="12"/>
      <c r="G14" s="12"/>
      <c r="H14" s="12"/>
      <c r="I14" s="12"/>
      <c r="J14" s="12"/>
      <c r="L14" s="31" t="s">
        <v>56</v>
      </c>
      <c r="M14" s="53" t="s">
        <v>55</v>
      </c>
      <c r="N14" s="55"/>
      <c r="P14" s="30" t="s">
        <v>49</v>
      </c>
      <c r="Q14" s="28" t="s">
        <v>61</v>
      </c>
      <c r="R14" s="30" t="s">
        <v>49</v>
      </c>
      <c r="U14" s="31" t="s">
        <v>56</v>
      </c>
      <c r="V14" s="53" t="s">
        <v>55</v>
      </c>
      <c r="W14" s="55"/>
    </row>
    <row r="15" spans="6:23" ht="15.75" thickBot="1" x14ac:dyDescent="0.3">
      <c r="F15" s="20"/>
      <c r="G15" s="25"/>
      <c r="H15" s="12"/>
      <c r="I15" s="14" t="s">
        <v>38</v>
      </c>
      <c r="J15" s="12"/>
      <c r="N15" s="28"/>
      <c r="P15" s="29"/>
      <c r="R15" s="29"/>
      <c r="W15" s="28"/>
    </row>
    <row r="16" spans="6:23" ht="15.75" thickBot="1" x14ac:dyDescent="0.3">
      <c r="F16" s="12"/>
      <c r="G16" s="12"/>
      <c r="H16" s="12"/>
      <c r="I16" s="12"/>
      <c r="J16" s="12"/>
      <c r="K16" s="31" t="s">
        <v>58</v>
      </c>
      <c r="L16" s="53" t="s">
        <v>57</v>
      </c>
      <c r="M16" s="54"/>
      <c r="N16" s="55"/>
      <c r="P16" s="30" t="s">
        <v>50</v>
      </c>
      <c r="Q16" s="28" t="s">
        <v>63</v>
      </c>
      <c r="R16" s="30" t="s">
        <v>50</v>
      </c>
      <c r="T16" s="31" t="s">
        <v>58</v>
      </c>
      <c r="U16" s="53" t="s">
        <v>57</v>
      </c>
      <c r="V16" s="54"/>
      <c r="W16" s="55"/>
    </row>
    <row r="17" spans="4:23" ht="15.75" thickBot="1" x14ac:dyDescent="0.3">
      <c r="E17" s="18"/>
      <c r="F17" s="24" t="s">
        <v>42</v>
      </c>
      <c r="G17" s="16"/>
      <c r="H17" s="12"/>
      <c r="I17" s="14" t="s">
        <v>39</v>
      </c>
      <c r="J17" s="12"/>
      <c r="N17" s="28"/>
      <c r="P17" s="29"/>
      <c r="R17" s="29"/>
      <c r="W17" s="28"/>
    </row>
    <row r="18" spans="4:23" ht="15.75" thickBot="1" x14ac:dyDescent="0.3">
      <c r="F18" s="12"/>
      <c r="G18" s="12"/>
      <c r="H18" s="12"/>
      <c r="I18" s="12"/>
      <c r="J18" s="12"/>
      <c r="K18" s="31" t="s">
        <v>58</v>
      </c>
      <c r="L18" s="53" t="s">
        <v>57</v>
      </c>
      <c r="M18" s="54"/>
      <c r="N18" s="55"/>
      <c r="P18" s="30" t="s">
        <v>51</v>
      </c>
      <c r="Q18" s="33"/>
      <c r="R18" s="30" t="s">
        <v>51</v>
      </c>
      <c r="T18" s="31" t="s">
        <v>58</v>
      </c>
      <c r="U18" s="53" t="s">
        <v>57</v>
      </c>
      <c r="V18" s="54"/>
      <c r="W18" s="55"/>
    </row>
    <row r="19" spans="4:23" ht="15.75" thickBot="1" x14ac:dyDescent="0.3">
      <c r="D19" s="18"/>
      <c r="E19" s="19"/>
      <c r="F19" s="17"/>
      <c r="G19" s="16"/>
      <c r="H19" s="12"/>
      <c r="I19" s="14" t="s">
        <v>40</v>
      </c>
      <c r="J19" s="12"/>
      <c r="Q19" s="32" t="s">
        <v>59</v>
      </c>
    </row>
    <row r="20" spans="4:23" ht="15.75" thickBot="1" x14ac:dyDescent="0.3">
      <c r="F20" s="12"/>
      <c r="G20" s="12"/>
      <c r="H20" s="12"/>
      <c r="I20" s="12"/>
      <c r="J20" s="12"/>
    </row>
    <row r="21" spans="4:23" ht="15.75" thickBot="1" x14ac:dyDescent="0.3">
      <c r="D21" s="19"/>
      <c r="E21" s="23"/>
      <c r="F21" s="17"/>
      <c r="G21" s="16"/>
      <c r="H21" s="12"/>
      <c r="I21" s="14" t="s">
        <v>41</v>
      </c>
      <c r="J21" s="12"/>
    </row>
    <row r="22" spans="4:23" x14ac:dyDescent="0.25">
      <c r="F22" s="12"/>
      <c r="G22" s="12"/>
      <c r="H22" s="12"/>
      <c r="I22" s="12"/>
      <c r="J22" s="12"/>
    </row>
  </sheetData>
  <mergeCells count="6">
    <mergeCell ref="L16:N16"/>
    <mergeCell ref="M14:N14"/>
    <mergeCell ref="L18:N18"/>
    <mergeCell ref="V14:W14"/>
    <mergeCell ref="U16:W16"/>
    <mergeCell ref="U18:W1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394BB0E6A3974F92979CC7014A66BE" ma:contentTypeVersion="4" ma:contentTypeDescription="Crear nuevo documento." ma:contentTypeScope="" ma:versionID="25b822d01e6326c6c6a3be70296d39f5">
  <xsd:schema xmlns:xsd="http://www.w3.org/2001/XMLSchema" xmlns:xs="http://www.w3.org/2001/XMLSchema" xmlns:p="http://schemas.microsoft.com/office/2006/metadata/properties" xmlns:ns2="c190a762-8ace-4dde-8610-f60417de3a92" targetNamespace="http://schemas.microsoft.com/office/2006/metadata/properties" ma:root="true" ma:fieldsID="e96a2350358351b3d6c91d8c867ba915" ns2:_="">
    <xsd:import namespace="c190a762-8ace-4dde-8610-f60417de3a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0a762-8ace-4dde-8610-f60417de3a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531B-D046-480A-8FA6-53B4D721500A}">
  <ds:schemaRefs>
    <ds:schemaRef ds:uri="280b6ef6-9fb5-409c-82bc-eb251aff3aeb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d9fe82b4-0703-4f19-bb4f-8b5a601a8a1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47966C6-A997-4C16-BEED-9F743AEF38C0}"/>
</file>

<file path=customXml/itemProps3.xml><?xml version="1.0" encoding="utf-8"?>
<ds:datastoreItem xmlns:ds="http://schemas.openxmlformats.org/officeDocument/2006/customXml" ds:itemID="{BD3F59AB-1702-4A77-BF5B-E06EF01502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ListadoEstudiantes_2025I_04-02-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Ernesto Jose Garcia Puche</cp:lastModifiedBy>
  <dcterms:created xsi:type="dcterms:W3CDTF">2025-02-04T13:13:37Z</dcterms:created>
  <dcterms:modified xsi:type="dcterms:W3CDTF">2025-03-13T15:17:54Z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0x01010092394BB0E6A3974F92979CC7014A66BE</vt:lpwstr>
  </property>
</Properties>
</file>